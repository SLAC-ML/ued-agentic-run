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lac-my.sharepoint.com/personal/pkramer_slac_stanford_edu/Documents/UED Laser Team/UED Run 7 - Solid/"/>
    </mc:Choice>
  </mc:AlternateContent>
  <xr:revisionPtr revIDLastSave="52" documentId="8_{D8A6B347-21F1-4487-BC52-4741922B9E01}" xr6:coauthVersionLast="47" xr6:coauthVersionMax="47" xr10:uidLastSave="{15192FEE-F272-4DD0-8B2B-CB12E8E4A374}"/>
  <bookViews>
    <workbookView xWindow="3015" yWindow="3585" windowWidth="23670" windowHeight="16470" xr2:uid="{0A1BBFFD-C84A-4D6C-BB1D-4F8A18EDB8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/>
  <c r="F2" i="1" s="1"/>
  <c r="D23" i="1"/>
  <c r="F23" i="1" s="1"/>
  <c r="D21" i="1"/>
  <c r="F21" i="1" s="1"/>
  <c r="D19" i="1"/>
  <c r="F19" i="1" s="1"/>
  <c r="D26" i="1"/>
  <c r="D27" i="1"/>
  <c r="D28" i="1"/>
  <c r="D3" i="1"/>
  <c r="F3" i="1" s="1"/>
  <c r="D4" i="1"/>
  <c r="F4" i="1" s="1"/>
  <c r="D5" i="1"/>
  <c r="F5" i="1" s="1"/>
  <c r="D6" i="1"/>
  <c r="F6" i="1" s="1"/>
  <c r="D7" i="1"/>
  <c r="F7" i="1" s="1"/>
  <c r="D8" i="1"/>
  <c r="F8" i="1" s="1"/>
  <c r="D9" i="1"/>
  <c r="F9" i="1" s="1"/>
  <c r="D10" i="1"/>
  <c r="F10" i="1" s="1"/>
  <c r="D11" i="1"/>
  <c r="F11" i="1" s="1"/>
  <c r="D12" i="1"/>
  <c r="F12" i="1" s="1"/>
  <c r="D13" i="1"/>
  <c r="F13" i="1" s="1"/>
  <c r="D14" i="1"/>
  <c r="F14" i="1" s="1"/>
  <c r="D15" i="1"/>
  <c r="F15" i="1" s="1"/>
  <c r="D16" i="1"/>
  <c r="F16" i="1" s="1"/>
  <c r="D17" i="1"/>
  <c r="F17" i="1" s="1"/>
  <c r="D18" i="1"/>
  <c r="F18" i="1" s="1"/>
  <c r="D20" i="1"/>
  <c r="F20" i="1" s="1"/>
  <c r="D22" i="1"/>
  <c r="F22" i="1" s="1"/>
  <c r="D24" i="1"/>
  <c r="D25" i="1"/>
</calcChain>
</file>

<file path=xl/sharedStrings.xml><?xml version="1.0" encoding="utf-8"?>
<sst xmlns="http://schemas.openxmlformats.org/spreadsheetml/2006/main" count="11" uniqueCount="11">
  <si>
    <t>Pump Throttle (deg)</t>
  </si>
  <si>
    <t>Harmonics HWP (deg)</t>
  </si>
  <si>
    <t>Energy Meter (uJ)</t>
  </si>
  <si>
    <t>&lt;- max</t>
  </si>
  <si>
    <t>Energy IP (uJ)</t>
  </si>
  <si>
    <t>Transmission</t>
  </si>
  <si>
    <t>Spot size (FWHM), um</t>
  </si>
  <si>
    <t>Peak fluence at IP (mJ/cm^2)</t>
  </si>
  <si>
    <t>YAG energy 8-10 deg</t>
  </si>
  <si>
    <t>&lt;- min 5 - 6 deg</t>
  </si>
  <si>
    <t>around here for Bi?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</si>
</sst>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2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15</xdr:row>
      <xdr:rowOff>0</xdr:rowOff>
    </xdr:from>
    <xdr:to>
      <xdr:col>19</xdr:col>
      <xdr:colOff>127000</xdr:colOff>
      <xdr:row>37</xdr:row>
      <xdr:rowOff>117990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B95AB19-E5F8-9E9F-3FE4-D068C956DE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439900" y="2857500"/>
          <a:ext cx="7772400" cy="430899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649D996-6833-C548-BBDE-C83189B87AE7}">
  <we:reference id="93533c7f-4dc5-468f-aba4-1c008e1a7ac8" version="1.0.0.8" store="EXCatalog" storeType="EXCatalog"/>
  <we:alternateReferences>
    <we:reference id="WA200003101" version="1.0.0.8" store="en-US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88D8D-DF44-431E-A201-8F8EFBF82A9F}">
  <dimension ref="A1:H62"/>
  <sheetViews>
    <sheetView tabSelected="1" zoomScaleNormal="100" workbookViewId="0">
      <pane ySplit="1" topLeftCell="A2" activePane="bottomLeft" state="frozen"/>
      <selection pane="bottomLeft" activeCell="G20" sqref="G20"/>
    </sheetView>
  </sheetViews>
  <sheetFormatPr defaultColWidth="8.7109375" defaultRowHeight="15" x14ac:dyDescent="0.25"/>
  <cols>
    <col min="1" max="1" width="23.28515625" bestFit="1" customWidth="1"/>
    <col min="2" max="2" width="26.7109375" bestFit="1" customWidth="1"/>
    <col min="3" max="3" width="23.42578125" bestFit="1" customWidth="1"/>
    <col min="4" max="4" width="22.7109375" bestFit="1" customWidth="1"/>
    <col min="5" max="5" width="20.42578125" bestFit="1" customWidth="1"/>
    <col min="6" max="6" width="26.7109375" bestFit="1" customWidth="1"/>
    <col min="7" max="7" width="23.42578125" bestFit="1" customWidth="1"/>
    <col min="8" max="8" width="22.7109375" bestFit="1" customWidth="1"/>
    <col min="9" max="9" width="12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7</v>
      </c>
      <c r="G1" s="1"/>
      <c r="H1" s="1" t="s">
        <v>6</v>
      </c>
    </row>
    <row r="2" spans="1:8" x14ac:dyDescent="0.25">
      <c r="A2">
        <v>16</v>
      </c>
      <c r="B2">
        <v>52</v>
      </c>
      <c r="C2">
        <v>16.8</v>
      </c>
      <c r="D2" s="2">
        <f>$E$2*C2</f>
        <v>10.684800000000001</v>
      </c>
      <c r="E2" s="2">
        <v>0.63600000000000001</v>
      </c>
      <c r="F2" s="3">
        <f>0.8825*D2*0.001/($H$2*0.0001)^2</f>
        <v>18.29908595160007</v>
      </c>
      <c r="H2">
        <v>227</v>
      </c>
    </row>
    <row r="3" spans="1:8" x14ac:dyDescent="0.25">
      <c r="B3">
        <v>50</v>
      </c>
      <c r="C3">
        <v>17</v>
      </c>
      <c r="D3" s="2">
        <f t="shared" ref="D3:D28" si="0">$E$2*C3</f>
        <v>10.811999999999999</v>
      </c>
      <c r="E3" s="2"/>
      <c r="F3" s="3">
        <f t="shared" ref="F3:F23" si="1">0.8825*D3*0.001/($H$2*0.0001)^2</f>
        <v>18.516932212928637</v>
      </c>
      <c r="G3" t="s">
        <v>3</v>
      </c>
    </row>
    <row r="4" spans="1:8" x14ac:dyDescent="0.25">
      <c r="B4">
        <v>48</v>
      </c>
      <c r="C4">
        <v>16.899999999999999</v>
      </c>
      <c r="D4" s="2">
        <f t="shared" si="0"/>
        <v>10.748399999999998</v>
      </c>
      <c r="E4" s="2"/>
      <c r="F4" s="3">
        <f t="shared" si="1"/>
        <v>18.40800908226435</v>
      </c>
    </row>
    <row r="5" spans="1:8" x14ac:dyDescent="0.25">
      <c r="B5">
        <v>46</v>
      </c>
      <c r="C5">
        <v>16.5</v>
      </c>
      <c r="D5" s="2">
        <f t="shared" si="0"/>
        <v>10.494</v>
      </c>
      <c r="E5" s="2"/>
      <c r="F5" s="3">
        <f t="shared" si="1"/>
        <v>17.972316559607208</v>
      </c>
    </row>
    <row r="6" spans="1:8" x14ac:dyDescent="0.25">
      <c r="B6">
        <v>44</v>
      </c>
      <c r="C6">
        <v>15.8</v>
      </c>
      <c r="D6" s="2">
        <f t="shared" si="0"/>
        <v>10.0488</v>
      </c>
      <c r="E6" s="2"/>
      <c r="F6" s="3">
        <f t="shared" si="1"/>
        <v>17.209854644957204</v>
      </c>
    </row>
    <row r="7" spans="1:8" x14ac:dyDescent="0.25">
      <c r="B7">
        <v>42</v>
      </c>
      <c r="C7">
        <v>14.7</v>
      </c>
      <c r="D7" s="2">
        <f t="shared" si="0"/>
        <v>9.3491999999999997</v>
      </c>
      <c r="E7" s="2"/>
      <c r="F7" s="3">
        <f t="shared" si="1"/>
        <v>16.011700207650058</v>
      </c>
    </row>
    <row r="8" spans="1:8" x14ac:dyDescent="0.25">
      <c r="B8">
        <v>40</v>
      </c>
      <c r="C8">
        <v>13.6</v>
      </c>
      <c r="D8" s="2">
        <f t="shared" si="0"/>
        <v>8.6495999999999995</v>
      </c>
      <c r="E8" s="2"/>
      <c r="F8" s="3">
        <f t="shared" si="1"/>
        <v>14.813545770342911</v>
      </c>
    </row>
    <row r="9" spans="1:8" x14ac:dyDescent="0.25">
      <c r="B9">
        <v>38</v>
      </c>
      <c r="C9">
        <v>12.2</v>
      </c>
      <c r="D9" s="2">
        <f t="shared" si="0"/>
        <v>7.7591999999999999</v>
      </c>
      <c r="E9" s="2"/>
      <c r="F9" s="3">
        <f t="shared" si="1"/>
        <v>13.288621941042905</v>
      </c>
    </row>
    <row r="10" spans="1:8" x14ac:dyDescent="0.25">
      <c r="B10">
        <v>36</v>
      </c>
      <c r="C10">
        <v>10.8</v>
      </c>
      <c r="D10" s="2">
        <f t="shared" si="0"/>
        <v>6.8688000000000002</v>
      </c>
      <c r="E10" s="2"/>
      <c r="F10" s="3">
        <f t="shared" si="1"/>
        <v>11.763698111742901</v>
      </c>
    </row>
    <row r="11" spans="1:8" x14ac:dyDescent="0.25">
      <c r="B11">
        <v>34</v>
      </c>
      <c r="C11">
        <v>9.3000000000000007</v>
      </c>
      <c r="D11" s="2">
        <f t="shared" si="0"/>
        <v>5.9148000000000005</v>
      </c>
      <c r="E11" s="2"/>
      <c r="F11" s="3">
        <f t="shared" si="1"/>
        <v>10.12985115177861</v>
      </c>
    </row>
    <row r="12" spans="1:8" x14ac:dyDescent="0.25">
      <c r="B12">
        <v>32</v>
      </c>
      <c r="C12">
        <v>7.7</v>
      </c>
      <c r="D12" s="2">
        <f t="shared" si="0"/>
        <v>4.8971999999999998</v>
      </c>
      <c r="E12" s="2"/>
      <c r="F12" s="3">
        <f t="shared" si="1"/>
        <v>8.3870810611500293</v>
      </c>
    </row>
    <row r="13" spans="1:8" x14ac:dyDescent="0.25">
      <c r="B13">
        <v>30</v>
      </c>
      <c r="C13">
        <v>6.4</v>
      </c>
      <c r="D13" s="2">
        <f t="shared" si="0"/>
        <v>4.0704000000000002</v>
      </c>
      <c r="E13" s="2"/>
      <c r="F13" s="3">
        <f t="shared" si="1"/>
        <v>6.9710803625143125</v>
      </c>
    </row>
    <row r="14" spans="1:8" x14ac:dyDescent="0.25">
      <c r="B14">
        <v>28</v>
      </c>
      <c r="C14">
        <v>5.0999999999999996</v>
      </c>
      <c r="D14" s="2">
        <f t="shared" si="0"/>
        <v>3.2435999999999998</v>
      </c>
      <c r="E14" s="2"/>
      <c r="F14" s="3">
        <f t="shared" si="1"/>
        <v>5.5550796638785922</v>
      </c>
    </row>
    <row r="15" spans="1:8" x14ac:dyDescent="0.25">
      <c r="B15">
        <v>26</v>
      </c>
      <c r="C15">
        <v>3.95</v>
      </c>
      <c r="D15" s="2">
        <f t="shared" si="0"/>
        <v>2.5122</v>
      </c>
      <c r="E15" s="2"/>
      <c r="F15" s="3">
        <f t="shared" si="1"/>
        <v>4.302463661239301</v>
      </c>
    </row>
    <row r="16" spans="1:8" x14ac:dyDescent="0.25">
      <c r="B16">
        <v>25</v>
      </c>
      <c r="C16">
        <v>3.4</v>
      </c>
      <c r="D16" s="2">
        <f t="shared" si="0"/>
        <v>2.1623999999999999</v>
      </c>
      <c r="E16" s="2"/>
      <c r="F16" s="3">
        <f t="shared" si="1"/>
        <v>3.7033864425857277</v>
      </c>
    </row>
    <row r="17" spans="2:7" x14ac:dyDescent="0.25">
      <c r="B17">
        <v>24</v>
      </c>
      <c r="C17">
        <v>2.95</v>
      </c>
      <c r="D17" s="2">
        <f t="shared" si="0"/>
        <v>1.8762000000000001</v>
      </c>
      <c r="E17" s="2"/>
      <c r="F17" s="3">
        <f t="shared" si="1"/>
        <v>3.2132323545964403</v>
      </c>
    </row>
    <row r="18" spans="2:7" x14ac:dyDescent="0.25">
      <c r="B18">
        <v>23</v>
      </c>
      <c r="C18">
        <v>2.5</v>
      </c>
      <c r="D18" s="2">
        <f t="shared" si="0"/>
        <v>1.59</v>
      </c>
      <c r="E18" s="2"/>
      <c r="F18" s="3">
        <f t="shared" si="1"/>
        <v>2.7230782666071529</v>
      </c>
    </row>
    <row r="19" spans="2:7" x14ac:dyDescent="0.25">
      <c r="B19">
        <v>22</v>
      </c>
      <c r="D19" s="2">
        <f t="shared" si="0"/>
        <v>0</v>
      </c>
      <c r="E19" s="2"/>
      <c r="F19" s="3">
        <f t="shared" si="1"/>
        <v>0</v>
      </c>
      <c r="G19" t="s">
        <v>10</v>
      </c>
    </row>
    <row r="20" spans="2:7" x14ac:dyDescent="0.25">
      <c r="B20">
        <v>20</v>
      </c>
      <c r="D20" s="2">
        <f t="shared" si="0"/>
        <v>0</v>
      </c>
      <c r="E20" s="2"/>
      <c r="F20" s="3">
        <f t="shared" si="1"/>
        <v>0</v>
      </c>
    </row>
    <row r="21" spans="2:7" x14ac:dyDescent="0.25">
      <c r="B21">
        <v>18</v>
      </c>
      <c r="D21" s="2">
        <f t="shared" si="0"/>
        <v>0</v>
      </c>
      <c r="E21" s="2"/>
      <c r="F21" s="3">
        <f t="shared" si="1"/>
        <v>0</v>
      </c>
    </row>
    <row r="22" spans="2:7" x14ac:dyDescent="0.25">
      <c r="B22">
        <v>16</v>
      </c>
      <c r="D22" s="2">
        <f t="shared" si="0"/>
        <v>0</v>
      </c>
      <c r="E22" s="2"/>
      <c r="F22" s="3">
        <f t="shared" si="1"/>
        <v>0</v>
      </c>
    </row>
    <row r="23" spans="2:7" x14ac:dyDescent="0.25">
      <c r="B23">
        <v>14</v>
      </c>
      <c r="D23" s="2">
        <f t="shared" si="0"/>
        <v>0</v>
      </c>
      <c r="E23" s="2"/>
      <c r="F23" s="3">
        <f t="shared" si="1"/>
        <v>0</v>
      </c>
    </row>
    <row r="24" spans="2:7" x14ac:dyDescent="0.25">
      <c r="B24">
        <v>12</v>
      </c>
      <c r="D24" s="2">
        <f t="shared" si="0"/>
        <v>0</v>
      </c>
      <c r="E24" s="2"/>
      <c r="F24" s="3"/>
    </row>
    <row r="25" spans="2:7" x14ac:dyDescent="0.25">
      <c r="B25">
        <v>10</v>
      </c>
      <c r="D25" s="2">
        <f t="shared" si="0"/>
        <v>0</v>
      </c>
      <c r="E25" s="2"/>
      <c r="F25" s="3"/>
    </row>
    <row r="26" spans="2:7" x14ac:dyDescent="0.25">
      <c r="B26">
        <v>8</v>
      </c>
      <c r="D26" s="2">
        <f t="shared" si="0"/>
        <v>0</v>
      </c>
      <c r="E26" s="2"/>
      <c r="F26" s="3"/>
      <c r="G26" t="s">
        <v>8</v>
      </c>
    </row>
    <row r="27" spans="2:7" x14ac:dyDescent="0.25">
      <c r="B27">
        <v>6</v>
      </c>
      <c r="D27" s="2">
        <f t="shared" si="0"/>
        <v>0</v>
      </c>
      <c r="E27" s="2"/>
      <c r="F27" s="3"/>
      <c r="G27" t="s">
        <v>9</v>
      </c>
    </row>
    <row r="28" spans="2:7" x14ac:dyDescent="0.25">
      <c r="B28">
        <v>4</v>
      </c>
      <c r="D28" s="2">
        <f t="shared" si="0"/>
        <v>0</v>
      </c>
      <c r="F28" s="3"/>
    </row>
    <row r="29" spans="2:7" x14ac:dyDescent="0.25">
      <c r="D29" s="2"/>
      <c r="F29" s="3"/>
    </row>
    <row r="30" spans="2:7" x14ac:dyDescent="0.25">
      <c r="F30" s="3"/>
    </row>
    <row r="31" spans="2:7" x14ac:dyDescent="0.25">
      <c r="D31" s="2"/>
      <c r="F31" s="3"/>
    </row>
    <row r="32" spans="2:7" x14ac:dyDescent="0.25">
      <c r="D32" s="2"/>
      <c r="F32" s="3"/>
    </row>
    <row r="33" spans="4:6" x14ac:dyDescent="0.25">
      <c r="D33" s="2"/>
      <c r="F33" s="3"/>
    </row>
    <row r="34" spans="4:6" x14ac:dyDescent="0.25">
      <c r="D34" s="2"/>
      <c r="F34" s="3"/>
    </row>
    <row r="35" spans="4:6" x14ac:dyDescent="0.25">
      <c r="D35" s="2"/>
      <c r="F35" s="3"/>
    </row>
    <row r="36" spans="4:6" x14ac:dyDescent="0.25">
      <c r="D36" s="2"/>
      <c r="F36" s="3"/>
    </row>
    <row r="37" spans="4:6" x14ac:dyDescent="0.25">
      <c r="D37" s="2"/>
      <c r="F37" s="3"/>
    </row>
    <row r="38" spans="4:6" x14ac:dyDescent="0.25">
      <c r="D38" s="2"/>
      <c r="F38" s="3"/>
    </row>
    <row r="39" spans="4:6" x14ac:dyDescent="0.25">
      <c r="D39" s="2"/>
      <c r="F39" s="3"/>
    </row>
    <row r="40" spans="4:6" x14ac:dyDescent="0.25">
      <c r="D40" s="2"/>
      <c r="F40" s="3"/>
    </row>
    <row r="41" spans="4:6" x14ac:dyDescent="0.25">
      <c r="D41" s="2"/>
      <c r="F41" s="3"/>
    </row>
    <row r="42" spans="4:6" x14ac:dyDescent="0.25">
      <c r="D42" s="2"/>
      <c r="F42" s="3"/>
    </row>
    <row r="43" spans="4:6" x14ac:dyDescent="0.25">
      <c r="D43" s="2"/>
      <c r="F43" s="3"/>
    </row>
    <row r="44" spans="4:6" x14ac:dyDescent="0.25">
      <c r="D44" s="2"/>
      <c r="F44" s="3"/>
    </row>
    <row r="45" spans="4:6" x14ac:dyDescent="0.25">
      <c r="D45" s="2"/>
      <c r="F45" s="3"/>
    </row>
    <row r="46" spans="4:6" x14ac:dyDescent="0.25">
      <c r="D46" s="2"/>
      <c r="F46" s="3"/>
    </row>
    <row r="47" spans="4:6" x14ac:dyDescent="0.25">
      <c r="D47" s="2"/>
      <c r="F47" s="3"/>
    </row>
    <row r="48" spans="4:6" x14ac:dyDescent="0.25">
      <c r="D48" s="2"/>
      <c r="F48" s="3"/>
    </row>
    <row r="49" spans="4:6" x14ac:dyDescent="0.25">
      <c r="D49" s="2"/>
      <c r="F49" s="3"/>
    </row>
    <row r="50" spans="4:6" x14ac:dyDescent="0.25">
      <c r="D50" s="2"/>
      <c r="F50" s="3"/>
    </row>
    <row r="51" spans="4:6" x14ac:dyDescent="0.25">
      <c r="D51" s="2"/>
      <c r="F51" s="3"/>
    </row>
    <row r="52" spans="4:6" x14ac:dyDescent="0.25">
      <c r="D52" s="2"/>
      <c r="F52" s="3"/>
    </row>
    <row r="53" spans="4:6" x14ac:dyDescent="0.25">
      <c r="D53" s="2"/>
      <c r="F53" s="3"/>
    </row>
    <row r="54" spans="4:6" x14ac:dyDescent="0.25">
      <c r="D54" s="2"/>
      <c r="F54" s="3"/>
    </row>
    <row r="55" spans="4:6" x14ac:dyDescent="0.25">
      <c r="D55" s="2"/>
      <c r="F55" s="3"/>
    </row>
    <row r="56" spans="4:6" x14ac:dyDescent="0.25">
      <c r="D56" s="2"/>
      <c r="F56" s="3"/>
    </row>
    <row r="57" spans="4:6" x14ac:dyDescent="0.25">
      <c r="D57" s="2"/>
    </row>
    <row r="58" spans="4:6" x14ac:dyDescent="0.25">
      <c r="D58" s="2"/>
    </row>
    <row r="59" spans="4:6" x14ac:dyDescent="0.25">
      <c r="D59" s="2"/>
    </row>
    <row r="60" spans="4:6" x14ac:dyDescent="0.25">
      <c r="D60" s="2"/>
    </row>
    <row r="61" spans="4:6" x14ac:dyDescent="0.25">
      <c r="D61" s="2"/>
    </row>
    <row r="62" spans="4:6" x14ac:dyDescent="0.25">
      <c r="D62" s="2"/>
    </row>
  </sheetData>
  <pageMargins left="0.7" right="0.7" top="0.75" bottom="0.75" header="0.3" footer="0.3"/>
  <pageSetup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Kramer, Patrick L</dc:creator>
  <cp:lastModifiedBy>Kramer, Patrick L</cp:lastModifiedBy>
  <cp:lastPrinted>2026-01-20T17:49:15Z</cp:lastPrinted>
  <dcterms:created xsi:type="dcterms:W3CDTF">2025-11-05T22:48:04Z</dcterms:created>
  <dcterms:modified xsi:type="dcterms:W3CDTF">2026-10-29T02:56:45Z</dcterms:modified>
</cp:coreProperties>
</file>