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2" fontId="0" fillId="3" borderId="0" pivotButton="0" quotePrefix="0" xfId="0"/>
    <xf numFmtId="164" fontId="0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400 nm pump energy vs Harmonics HWP</a:t>
            </a:r>
          </a:p>
        </rich>
      </tx>
    </title>
    <plotArea>
      <scatterChart>
        <ser>
          <idx val="0"/>
          <order val="0"/>
          <tx>
            <v>Fit: c + A cos^4(2(HWP - 49.65))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'Fit'!$A$23:$A$71</f>
            </numRef>
          </xVal>
          <yVal>
            <numRef>
              <f>'Fit'!$C$23:$C$71</f>
            </numRef>
          </yVal>
          <smooth val="1"/>
        </ser>
        <ser>
          <idx val="1"/>
          <order val="1"/>
          <tx>
            <v>Measured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'Fit'!$A$23:$A$71</f>
            </numRef>
          </xVal>
          <yVal>
            <numRef>
              <f>'Fit'!$B$23:$B$71</f>
            </numRef>
          </yVal>
        </ser>
        <ser>
          <idx val="2"/>
          <order val="2"/>
          <tx>
            <v>Working points</v>
          </tx>
          <spPr>
            <a:ln>
              <a:noFill/>
              <a:prstDash val="solid"/>
            </a:ln>
          </spPr>
          <marker>
            <symbol val="diamond"/>
            <size val="10"/>
            <spPr>
              <a:ln>
                <a:prstDash val="solid"/>
              </a:ln>
            </spPr>
          </marker>
          <xVal>
            <numRef>
              <f>'Fit'!$B$14:$B$17</f>
            </numRef>
          </xVal>
          <yVal>
            <numRef>
              <f>'Fit'!$C$14:$C$17</f>
            </numRef>
          </yVal>
        </ser>
        <axId val="10"/>
        <axId val="20"/>
      </scatterChart>
      <valAx>
        <axId val="10"/>
        <scaling>
          <orientation val="minMax"/>
          <max val="55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Harmonics HWP (deg)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Energy at PM1 (uJ)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2" customWidth="1" min="4" max="4"/>
    <col width="22" customWidth="1" min="5" max="5"/>
    <col width="70" customWidth="1" min="6" max="6"/>
  </cols>
  <sheetData>
    <row r="1">
      <c r="A1" s="1" t="inlineStr">
        <is>
          <t>400 nm pump: energy vs Harmonics HWP, fit and working points (data 2026-10-28, pump throttle 16 deg)</t>
        </is>
      </c>
    </row>
    <row r="2">
      <c r="A2" t="inlineStr">
        <is>
          <t>Model: E_PM1 = c + A * cos^4(2 (HWP - HWPmax)). SHG energy goes as the square of the fundamental along the crystal axis, hence cos^4 (a free exponent fits best at exactly 4).</t>
        </is>
      </c>
    </row>
    <row r="4">
      <c r="A4" s="2" t="inlineStr">
        <is>
          <t>HWPmax (deg)</t>
        </is>
      </c>
      <c r="B4" s="3" t="n">
        <v>49.65</v>
      </c>
      <c r="C4" t="inlineStr">
        <is>
          <t>max energy; minimum is 45 deg below, at 4.65</t>
        </is>
      </c>
    </row>
    <row r="5">
      <c r="A5" s="2" t="inlineStr">
        <is>
          <t>A (uJ)</t>
        </is>
      </c>
      <c r="B5" s="3" t="n">
        <v>16.6</v>
      </c>
    </row>
    <row r="6">
      <c r="A6" s="2" t="inlineStr">
        <is>
          <t>c, floor (uJ)</t>
        </is>
      </c>
      <c r="B6" s="3" t="n">
        <v>0.413</v>
      </c>
      <c r="C6" t="inlineStr">
        <is>
          <t>NOT determined by the data (none below 23 deg): a leakage model, A (cos^2 + 0.048)^2, fits equally well (rms 0.038) with a floor of 0.06 uJ. Measure PM1 at 8 deg</t>
        </is>
      </c>
    </row>
    <row r="7">
      <c r="A7" s="2" t="inlineStr">
        <is>
          <t>Transmission PM1 -&gt; IP</t>
        </is>
      </c>
      <c r="B7" s="3" t="n">
        <v>0.636</v>
      </c>
      <c r="C7" t="inlineStr">
        <is>
          <t>measured 2026-10-28</t>
        </is>
      </c>
    </row>
    <row r="8">
      <c r="A8" s="2" t="inlineStr">
        <is>
          <t>Spot FWHM at IP (um)</t>
        </is>
      </c>
      <c r="B8" s="3" t="n">
        <v>227</v>
      </c>
      <c r="C8" t="inlineStr">
        <is>
          <t>knife edge on the sample card, yaw set by eye</t>
        </is>
      </c>
    </row>
    <row r="9">
      <c r="A9" s="2" t="inlineStr">
        <is>
          <t>Peak fluence per uJ at IP (mJ/cm^2)</t>
        </is>
      </c>
      <c r="B9" s="3">
        <f>0.8825*0.001/(B8*0.0001)^2</f>
        <v/>
      </c>
      <c r="C9" t="inlineStr">
        <is>
          <t>4 ln2 / pi / FWHM^2 (incident, not absorbed)</t>
        </is>
      </c>
    </row>
    <row r="10">
      <c r="A10" s="2" t="inlineStr">
        <is>
          <t>Fit rms (uJ)</t>
        </is>
      </c>
      <c r="B10" s="3" t="n">
        <v>0.036</v>
      </c>
      <c r="C10" t="inlineStr">
        <is>
          <t>17 points, 23-52 deg; max residual 0.08 uJ</t>
        </is>
      </c>
    </row>
    <row r="12">
      <c r="A12" s="1" t="inlineStr">
        <is>
          <t>Working points</t>
        </is>
      </c>
    </row>
    <row r="13">
      <c r="A13" s="4" t="inlineStr">
        <is>
          <t>Working point</t>
        </is>
      </c>
      <c r="B13" s="4" t="inlineStr">
        <is>
          <t>HWP (deg)</t>
        </is>
      </c>
      <c r="C13" s="4" t="inlineStr">
        <is>
          <t>PM1 (uJ)</t>
        </is>
      </c>
      <c r="D13" s="4" t="inlineStr">
        <is>
          <t>IP (uJ)</t>
        </is>
      </c>
      <c r="E13" s="4" t="inlineStr">
        <is>
          <t>Peak fluence (mJ/cm^2)</t>
        </is>
      </c>
      <c r="F13" s="4" t="inlineStr">
        <is>
          <t>Note</t>
        </is>
      </c>
    </row>
    <row r="14">
      <c r="A14" s="5" t="inlineStr">
        <is>
          <t>YAG overlap (min energy)</t>
        </is>
      </c>
      <c r="B14" s="6" t="n">
        <v>8</v>
      </c>
      <c r="C14" s="7">
        <f>$B$6+$B$5*COS(RADIANS(2*(B14-$B$4)))^4</f>
        <v/>
      </c>
      <c r="D14" s="7">
        <f>C14*$B$7</f>
        <v/>
      </c>
      <c r="E14" s="7">
        <f>D14*$B$9</f>
        <v/>
      </c>
      <c r="F14" t="inlineStr">
        <is>
          <t>Patrick: YAG at 8-10 deg. Energy here is NOT known from this data: 0.06-0.42 uJ at PM1 depending on the model. Measure PM1 at 8 deg</t>
        </is>
      </c>
    </row>
    <row r="15">
      <c r="A15" s="5" t="inlineStr">
        <is>
          <t>Bi time zero</t>
        </is>
      </c>
      <c r="B15" s="6" t="n">
        <v>22</v>
      </c>
      <c r="C15" s="7">
        <f>$B$6+$B$5*COS(RADIANS(2*(B15-$B$4)))^4</f>
        <v/>
      </c>
      <c r="D15" s="7">
        <f>C15*$B$7</f>
        <v/>
      </c>
      <c r="E15" s="7">
        <f>D15*$B$9</f>
        <v/>
      </c>
      <c r="F15" t="inlineStr">
        <is>
          <t>Patrick's 'around here for Bi'. Robust: 2.10-2.16 uJ at PM1 across models (1 deg below the data)</t>
        </is>
      </c>
    </row>
    <row r="16">
      <c r="A16" s="2" t="inlineStr">
        <is>
          <t>Bi coarse t0 scan (optional)</t>
        </is>
      </c>
      <c r="B16" s="8" t="n">
        <v>25</v>
      </c>
      <c r="C16" s="3">
        <f>$B$6+$B$5*COS(RADIANS(2*(B16-$B$4)))^4</f>
        <v/>
      </c>
      <c r="D16" s="3">
        <f>C16*$B$7</f>
        <v/>
      </c>
      <c r="E16" s="3">
        <f>D16*$B$9</f>
        <v/>
      </c>
      <c r="F16" t="inlineStr">
        <is>
          <t>Stronger signal for the wide first scan, if the sample tolerates it; measured point</t>
        </is>
      </c>
    </row>
    <row r="17">
      <c r="A17" s="2" t="inlineStr">
        <is>
          <t>Run 6 Bi angle (reference)</t>
        </is>
      </c>
      <c r="B17" s="8" t="n">
        <v>16.245</v>
      </c>
      <c r="C17" s="3">
        <f>$B$6+$B$5*COS(RADIANS(2*(B17-$B$4)))^4</f>
        <v/>
      </c>
      <c r="D17" s="3">
        <f>C17*$B$7</f>
        <v/>
      </c>
      <c r="E17" s="3">
        <f>D17*$B$9</f>
        <v/>
      </c>
      <c r="F17" t="inlineStr">
        <is>
          <t>Old ued_setup value: now under 1 mJ/cm^2, no longer ~2 uJ</t>
        </is>
      </c>
    </row>
    <row r="18">
      <c r="A18" s="2" t="inlineStr">
        <is>
          <t>Max</t>
        </is>
      </c>
      <c r="B18" s="8" t="n">
        <v>49.65</v>
      </c>
      <c r="C18" s="3">
        <f>$B$6+$B$5*COS(RADIANS(2*(B18-$B$4)))^4</f>
        <v/>
      </c>
      <c r="D18" s="3">
        <f>C18*$B$7</f>
        <v/>
      </c>
      <c r="E18" s="3">
        <f>D18*$B$9</f>
        <v/>
      </c>
    </row>
    <row r="21">
      <c r="A21" s="1" t="inlineStr">
        <is>
          <t>Table</t>
        </is>
      </c>
    </row>
    <row r="22">
      <c r="A22" s="4" t="inlineStr">
        <is>
          <t>HWP (deg)</t>
        </is>
      </c>
      <c r="B22" s="4" t="inlineStr">
        <is>
          <t>Measured PM1 (uJ)</t>
        </is>
      </c>
      <c r="C22" s="4" t="inlineStr">
        <is>
          <t>Fit PM1 (uJ)</t>
        </is>
      </c>
      <c r="D22" s="4" t="inlineStr">
        <is>
          <t>Residual (uJ)</t>
        </is>
      </c>
      <c r="E22" s="4" t="inlineStr">
        <is>
          <t>Fit IP (uJ)</t>
        </is>
      </c>
      <c r="F22" s="4" t="inlineStr">
        <is>
          <t>Fit peak fluence (mJ/cm^2)</t>
        </is>
      </c>
    </row>
    <row r="23">
      <c r="A23" s="8" t="n">
        <v>4</v>
      </c>
      <c r="C23" s="3">
        <f>$B$6+$B$5*COS(RADIANS(2*(A23-$B$4)))^4</f>
        <v/>
      </c>
      <c r="E23" s="3">
        <f>C23*$B$7</f>
        <v/>
      </c>
      <c r="F23" s="3">
        <f>E23*$B$9</f>
        <v/>
      </c>
    </row>
    <row r="24">
      <c r="A24" s="8" t="n">
        <v>5</v>
      </c>
      <c r="C24" s="3">
        <f>$B$6+$B$5*COS(RADIANS(2*(A24-$B$4)))^4</f>
        <v/>
      </c>
      <c r="E24" s="3">
        <f>C24*$B$7</f>
        <v/>
      </c>
      <c r="F24" s="3">
        <f>E24*$B$9</f>
        <v/>
      </c>
    </row>
    <row r="25">
      <c r="A25" s="8" t="n">
        <v>6</v>
      </c>
      <c r="C25" s="3">
        <f>$B$6+$B$5*COS(RADIANS(2*(A25-$B$4)))^4</f>
        <v/>
      </c>
      <c r="E25" s="3">
        <f>C25*$B$7</f>
        <v/>
      </c>
      <c r="F25" s="3">
        <f>E25*$B$9</f>
        <v/>
      </c>
    </row>
    <row r="26">
      <c r="A26" s="8" t="n">
        <v>7</v>
      </c>
      <c r="C26" s="3">
        <f>$B$6+$B$5*COS(RADIANS(2*(A26-$B$4)))^4</f>
        <v/>
      </c>
      <c r="E26" s="3">
        <f>C26*$B$7</f>
        <v/>
      </c>
      <c r="F26" s="3">
        <f>E26*$B$9</f>
        <v/>
      </c>
    </row>
    <row r="27">
      <c r="A27" s="8" t="n">
        <v>8</v>
      </c>
      <c r="C27" s="3">
        <f>$B$6+$B$5*COS(RADIANS(2*(A27-$B$4)))^4</f>
        <v/>
      </c>
      <c r="E27" s="3">
        <f>C27*$B$7</f>
        <v/>
      </c>
      <c r="F27" s="3">
        <f>E27*$B$9</f>
        <v/>
      </c>
    </row>
    <row r="28">
      <c r="A28" s="8" t="n">
        <v>9</v>
      </c>
      <c r="C28" s="3">
        <f>$B$6+$B$5*COS(RADIANS(2*(A28-$B$4)))^4</f>
        <v/>
      </c>
      <c r="E28" s="3">
        <f>C28*$B$7</f>
        <v/>
      </c>
      <c r="F28" s="3">
        <f>E28*$B$9</f>
        <v/>
      </c>
    </row>
    <row r="29">
      <c r="A29" s="8" t="n">
        <v>10</v>
      </c>
      <c r="C29" s="3">
        <f>$B$6+$B$5*COS(RADIANS(2*(A29-$B$4)))^4</f>
        <v/>
      </c>
      <c r="E29" s="3">
        <f>C29*$B$7</f>
        <v/>
      </c>
      <c r="F29" s="3">
        <f>E29*$B$9</f>
        <v/>
      </c>
    </row>
    <row r="30">
      <c r="A30" s="8" t="n">
        <v>11</v>
      </c>
      <c r="C30" s="3">
        <f>$B$6+$B$5*COS(RADIANS(2*(A30-$B$4)))^4</f>
        <v/>
      </c>
      <c r="E30" s="3">
        <f>C30*$B$7</f>
        <v/>
      </c>
      <c r="F30" s="3">
        <f>E30*$B$9</f>
        <v/>
      </c>
    </row>
    <row r="31">
      <c r="A31" s="8" t="n">
        <v>12</v>
      </c>
      <c r="C31" s="3">
        <f>$B$6+$B$5*COS(RADIANS(2*(A31-$B$4)))^4</f>
        <v/>
      </c>
      <c r="E31" s="3">
        <f>C31*$B$7</f>
        <v/>
      </c>
      <c r="F31" s="3">
        <f>E31*$B$9</f>
        <v/>
      </c>
    </row>
    <row r="32">
      <c r="A32" s="8" t="n">
        <v>13</v>
      </c>
      <c r="C32" s="3">
        <f>$B$6+$B$5*COS(RADIANS(2*(A32-$B$4)))^4</f>
        <v/>
      </c>
      <c r="E32" s="3">
        <f>C32*$B$7</f>
        <v/>
      </c>
      <c r="F32" s="3">
        <f>E32*$B$9</f>
        <v/>
      </c>
    </row>
    <row r="33">
      <c r="A33" s="8" t="n">
        <v>14</v>
      </c>
      <c r="C33" s="3">
        <f>$B$6+$B$5*COS(RADIANS(2*(A33-$B$4)))^4</f>
        <v/>
      </c>
      <c r="E33" s="3">
        <f>C33*$B$7</f>
        <v/>
      </c>
      <c r="F33" s="3">
        <f>E33*$B$9</f>
        <v/>
      </c>
    </row>
    <row r="34">
      <c r="A34" s="8" t="n">
        <v>15</v>
      </c>
      <c r="C34" s="3">
        <f>$B$6+$B$5*COS(RADIANS(2*(A34-$B$4)))^4</f>
        <v/>
      </c>
      <c r="E34" s="3">
        <f>C34*$B$7</f>
        <v/>
      </c>
      <c r="F34" s="3">
        <f>E34*$B$9</f>
        <v/>
      </c>
    </row>
    <row r="35">
      <c r="A35" s="8" t="n">
        <v>16</v>
      </c>
      <c r="C35" s="3">
        <f>$B$6+$B$5*COS(RADIANS(2*(A35-$B$4)))^4</f>
        <v/>
      </c>
      <c r="E35" s="3">
        <f>C35*$B$7</f>
        <v/>
      </c>
      <c r="F35" s="3">
        <f>E35*$B$9</f>
        <v/>
      </c>
    </row>
    <row r="36">
      <c r="A36" s="8" t="n">
        <v>17</v>
      </c>
      <c r="C36" s="3">
        <f>$B$6+$B$5*COS(RADIANS(2*(A36-$B$4)))^4</f>
        <v/>
      </c>
      <c r="E36" s="3">
        <f>C36*$B$7</f>
        <v/>
      </c>
      <c r="F36" s="3">
        <f>E36*$B$9</f>
        <v/>
      </c>
    </row>
    <row r="37">
      <c r="A37" s="8" t="n">
        <v>18</v>
      </c>
      <c r="C37" s="3">
        <f>$B$6+$B$5*COS(RADIANS(2*(A37-$B$4)))^4</f>
        <v/>
      </c>
      <c r="E37" s="3">
        <f>C37*$B$7</f>
        <v/>
      </c>
      <c r="F37" s="3">
        <f>E37*$B$9</f>
        <v/>
      </c>
    </row>
    <row r="38">
      <c r="A38" s="8" t="n">
        <v>19</v>
      </c>
      <c r="C38" s="3">
        <f>$B$6+$B$5*COS(RADIANS(2*(A38-$B$4)))^4</f>
        <v/>
      </c>
      <c r="E38" s="3">
        <f>C38*$B$7</f>
        <v/>
      </c>
      <c r="F38" s="3">
        <f>E38*$B$9</f>
        <v/>
      </c>
    </row>
    <row r="39">
      <c r="A39" s="8" t="n">
        <v>20</v>
      </c>
      <c r="C39" s="3">
        <f>$B$6+$B$5*COS(RADIANS(2*(A39-$B$4)))^4</f>
        <v/>
      </c>
      <c r="E39" s="3">
        <f>C39*$B$7</f>
        <v/>
      </c>
      <c r="F39" s="3">
        <f>E39*$B$9</f>
        <v/>
      </c>
    </row>
    <row r="40">
      <c r="A40" s="8" t="n">
        <v>21</v>
      </c>
      <c r="C40" s="3">
        <f>$B$6+$B$5*COS(RADIANS(2*(A40-$B$4)))^4</f>
        <v/>
      </c>
      <c r="E40" s="3">
        <f>C40*$B$7</f>
        <v/>
      </c>
      <c r="F40" s="3">
        <f>E40*$B$9</f>
        <v/>
      </c>
    </row>
    <row r="41">
      <c r="A41" s="8" t="n">
        <v>22</v>
      </c>
      <c r="C41" s="3">
        <f>$B$6+$B$5*COS(RADIANS(2*(A41-$B$4)))^4</f>
        <v/>
      </c>
      <c r="E41" s="3">
        <f>C41*$B$7</f>
        <v/>
      </c>
      <c r="F41" s="3">
        <f>E41*$B$9</f>
        <v/>
      </c>
    </row>
    <row r="42">
      <c r="A42" s="8" t="n">
        <v>23</v>
      </c>
      <c r="B42" s="8" t="n">
        <v>2.5</v>
      </c>
      <c r="C42" s="3">
        <f>$B$6+$B$5*COS(RADIANS(2*(A42-$B$4)))^4</f>
        <v/>
      </c>
      <c r="D42" s="3">
        <f>B42-C42</f>
        <v/>
      </c>
      <c r="E42" s="3">
        <f>C42*$B$7</f>
        <v/>
      </c>
      <c r="F42" s="3">
        <f>E42*$B$9</f>
        <v/>
      </c>
    </row>
    <row r="43">
      <c r="A43" s="8" t="n">
        <v>24</v>
      </c>
      <c r="B43" s="8" t="n">
        <v>2.95</v>
      </c>
      <c r="C43" s="3">
        <f>$B$6+$B$5*COS(RADIANS(2*(A43-$B$4)))^4</f>
        <v/>
      </c>
      <c r="D43" s="3">
        <f>B43-C43</f>
        <v/>
      </c>
      <c r="E43" s="3">
        <f>C43*$B$7</f>
        <v/>
      </c>
      <c r="F43" s="3">
        <f>E43*$B$9</f>
        <v/>
      </c>
    </row>
    <row r="44">
      <c r="A44" s="8" t="n">
        <v>25</v>
      </c>
      <c r="B44" s="8" t="n">
        <v>3.4</v>
      </c>
      <c r="C44" s="3">
        <f>$B$6+$B$5*COS(RADIANS(2*(A44-$B$4)))^4</f>
        <v/>
      </c>
      <c r="D44" s="3">
        <f>B44-C44</f>
        <v/>
      </c>
      <c r="E44" s="3">
        <f>C44*$B$7</f>
        <v/>
      </c>
      <c r="F44" s="3">
        <f>E44*$B$9</f>
        <v/>
      </c>
    </row>
    <row r="45">
      <c r="A45" s="8" t="n">
        <v>26</v>
      </c>
      <c r="B45" s="8" t="n">
        <v>3.95</v>
      </c>
      <c r="C45" s="3">
        <f>$B$6+$B$5*COS(RADIANS(2*(A45-$B$4)))^4</f>
        <v/>
      </c>
      <c r="D45" s="3">
        <f>B45-C45</f>
        <v/>
      </c>
      <c r="E45" s="3">
        <f>C45*$B$7</f>
        <v/>
      </c>
      <c r="F45" s="3">
        <f>E45*$B$9</f>
        <v/>
      </c>
    </row>
    <row r="46">
      <c r="A46" s="8" t="n">
        <v>27</v>
      </c>
      <c r="C46" s="3">
        <f>$B$6+$B$5*COS(RADIANS(2*(A46-$B$4)))^4</f>
        <v/>
      </c>
      <c r="E46" s="3">
        <f>C46*$B$7</f>
        <v/>
      </c>
      <c r="F46" s="3">
        <f>E46*$B$9</f>
        <v/>
      </c>
    </row>
    <row r="47">
      <c r="A47" s="8" t="n">
        <v>28</v>
      </c>
      <c r="B47" s="8" t="n">
        <v>5.1</v>
      </c>
      <c r="C47" s="3">
        <f>$B$6+$B$5*COS(RADIANS(2*(A47-$B$4)))^4</f>
        <v/>
      </c>
      <c r="D47" s="3">
        <f>B47-C47</f>
        <v/>
      </c>
      <c r="E47" s="3">
        <f>C47*$B$7</f>
        <v/>
      </c>
      <c r="F47" s="3">
        <f>E47*$B$9</f>
        <v/>
      </c>
    </row>
    <row r="48">
      <c r="A48" s="8" t="n">
        <v>29</v>
      </c>
      <c r="C48" s="3">
        <f>$B$6+$B$5*COS(RADIANS(2*(A48-$B$4)))^4</f>
        <v/>
      </c>
      <c r="E48" s="3">
        <f>C48*$B$7</f>
        <v/>
      </c>
      <c r="F48" s="3">
        <f>E48*$B$9</f>
        <v/>
      </c>
    </row>
    <row r="49">
      <c r="A49" s="8" t="n">
        <v>30</v>
      </c>
      <c r="B49" s="8" t="n">
        <v>6.4</v>
      </c>
      <c r="C49" s="3">
        <f>$B$6+$B$5*COS(RADIANS(2*(A49-$B$4)))^4</f>
        <v/>
      </c>
      <c r="D49" s="3">
        <f>B49-C49</f>
        <v/>
      </c>
      <c r="E49" s="3">
        <f>C49*$B$7</f>
        <v/>
      </c>
      <c r="F49" s="3">
        <f>E49*$B$9</f>
        <v/>
      </c>
    </row>
    <row r="50">
      <c r="A50" s="8" t="n">
        <v>31</v>
      </c>
      <c r="C50" s="3">
        <f>$B$6+$B$5*COS(RADIANS(2*(A50-$B$4)))^4</f>
        <v/>
      </c>
      <c r="E50" s="3">
        <f>C50*$B$7</f>
        <v/>
      </c>
      <c r="F50" s="3">
        <f>E50*$B$9</f>
        <v/>
      </c>
    </row>
    <row r="51">
      <c r="A51" s="8" t="n">
        <v>32</v>
      </c>
      <c r="B51" s="8" t="n">
        <v>7.7</v>
      </c>
      <c r="C51" s="3">
        <f>$B$6+$B$5*COS(RADIANS(2*(A51-$B$4)))^4</f>
        <v/>
      </c>
      <c r="D51" s="3">
        <f>B51-C51</f>
        <v/>
      </c>
      <c r="E51" s="3">
        <f>C51*$B$7</f>
        <v/>
      </c>
      <c r="F51" s="3">
        <f>E51*$B$9</f>
        <v/>
      </c>
    </row>
    <row r="52">
      <c r="A52" s="8" t="n">
        <v>33</v>
      </c>
      <c r="C52" s="3">
        <f>$B$6+$B$5*COS(RADIANS(2*(A52-$B$4)))^4</f>
        <v/>
      </c>
      <c r="E52" s="3">
        <f>C52*$B$7</f>
        <v/>
      </c>
      <c r="F52" s="3">
        <f>E52*$B$9</f>
        <v/>
      </c>
    </row>
    <row r="53">
      <c r="A53" s="8" t="n">
        <v>34</v>
      </c>
      <c r="B53" s="8" t="n">
        <v>9.300000000000001</v>
      </c>
      <c r="C53" s="3">
        <f>$B$6+$B$5*COS(RADIANS(2*(A53-$B$4)))^4</f>
        <v/>
      </c>
      <c r="D53" s="3">
        <f>B53-C53</f>
        <v/>
      </c>
      <c r="E53" s="3">
        <f>C53*$B$7</f>
        <v/>
      </c>
      <c r="F53" s="3">
        <f>E53*$B$9</f>
        <v/>
      </c>
    </row>
    <row r="54">
      <c r="A54" s="8" t="n">
        <v>35</v>
      </c>
      <c r="C54" s="3">
        <f>$B$6+$B$5*COS(RADIANS(2*(A54-$B$4)))^4</f>
        <v/>
      </c>
      <c r="E54" s="3">
        <f>C54*$B$7</f>
        <v/>
      </c>
      <c r="F54" s="3">
        <f>E54*$B$9</f>
        <v/>
      </c>
    </row>
    <row r="55">
      <c r="A55" s="8" t="n">
        <v>36</v>
      </c>
      <c r="B55" s="8" t="n">
        <v>10.8</v>
      </c>
      <c r="C55" s="3">
        <f>$B$6+$B$5*COS(RADIANS(2*(A55-$B$4)))^4</f>
        <v/>
      </c>
      <c r="D55" s="3">
        <f>B55-C55</f>
        <v/>
      </c>
      <c r="E55" s="3">
        <f>C55*$B$7</f>
        <v/>
      </c>
      <c r="F55" s="3">
        <f>E55*$B$9</f>
        <v/>
      </c>
    </row>
    <row r="56">
      <c r="A56" s="8" t="n">
        <v>37</v>
      </c>
      <c r="C56" s="3">
        <f>$B$6+$B$5*COS(RADIANS(2*(A56-$B$4)))^4</f>
        <v/>
      </c>
      <c r="E56" s="3">
        <f>C56*$B$7</f>
        <v/>
      </c>
      <c r="F56" s="3">
        <f>E56*$B$9</f>
        <v/>
      </c>
    </row>
    <row r="57">
      <c r="A57" s="8" t="n">
        <v>38</v>
      </c>
      <c r="B57" s="8" t="n">
        <v>12.2</v>
      </c>
      <c r="C57" s="3">
        <f>$B$6+$B$5*COS(RADIANS(2*(A57-$B$4)))^4</f>
        <v/>
      </c>
      <c r="D57" s="3">
        <f>B57-C57</f>
        <v/>
      </c>
      <c r="E57" s="3">
        <f>C57*$B$7</f>
        <v/>
      </c>
      <c r="F57" s="3">
        <f>E57*$B$9</f>
        <v/>
      </c>
    </row>
    <row r="58">
      <c r="A58" s="8" t="n">
        <v>39</v>
      </c>
      <c r="C58" s="3">
        <f>$B$6+$B$5*COS(RADIANS(2*(A58-$B$4)))^4</f>
        <v/>
      </c>
      <c r="E58" s="3">
        <f>C58*$B$7</f>
        <v/>
      </c>
      <c r="F58" s="3">
        <f>E58*$B$9</f>
        <v/>
      </c>
    </row>
    <row r="59">
      <c r="A59" s="8" t="n">
        <v>40</v>
      </c>
      <c r="B59" s="8" t="n">
        <v>13.6</v>
      </c>
      <c r="C59" s="3">
        <f>$B$6+$B$5*COS(RADIANS(2*(A59-$B$4)))^4</f>
        <v/>
      </c>
      <c r="D59" s="3">
        <f>B59-C59</f>
        <v/>
      </c>
      <c r="E59" s="3">
        <f>C59*$B$7</f>
        <v/>
      </c>
      <c r="F59" s="3">
        <f>E59*$B$9</f>
        <v/>
      </c>
    </row>
    <row r="60">
      <c r="A60" s="8" t="n">
        <v>41</v>
      </c>
      <c r="C60" s="3">
        <f>$B$6+$B$5*COS(RADIANS(2*(A60-$B$4)))^4</f>
        <v/>
      </c>
      <c r="E60" s="3">
        <f>C60*$B$7</f>
        <v/>
      </c>
      <c r="F60" s="3">
        <f>E60*$B$9</f>
        <v/>
      </c>
    </row>
    <row r="61">
      <c r="A61" s="8" t="n">
        <v>42</v>
      </c>
      <c r="B61" s="8" t="n">
        <v>14.7</v>
      </c>
      <c r="C61" s="3">
        <f>$B$6+$B$5*COS(RADIANS(2*(A61-$B$4)))^4</f>
        <v/>
      </c>
      <c r="D61" s="3">
        <f>B61-C61</f>
        <v/>
      </c>
      <c r="E61" s="3">
        <f>C61*$B$7</f>
        <v/>
      </c>
      <c r="F61" s="3">
        <f>E61*$B$9</f>
        <v/>
      </c>
    </row>
    <row r="62">
      <c r="A62" s="8" t="n">
        <v>43</v>
      </c>
      <c r="C62" s="3">
        <f>$B$6+$B$5*COS(RADIANS(2*(A62-$B$4)))^4</f>
        <v/>
      </c>
      <c r="E62" s="3">
        <f>C62*$B$7</f>
        <v/>
      </c>
      <c r="F62" s="3">
        <f>E62*$B$9</f>
        <v/>
      </c>
    </row>
    <row r="63">
      <c r="A63" s="8" t="n">
        <v>44</v>
      </c>
      <c r="B63" s="8" t="n">
        <v>15.8</v>
      </c>
      <c r="C63" s="3">
        <f>$B$6+$B$5*COS(RADIANS(2*(A63-$B$4)))^4</f>
        <v/>
      </c>
      <c r="D63" s="3">
        <f>B63-C63</f>
        <v/>
      </c>
      <c r="E63" s="3">
        <f>C63*$B$7</f>
        <v/>
      </c>
      <c r="F63" s="3">
        <f>E63*$B$9</f>
        <v/>
      </c>
    </row>
    <row r="64">
      <c r="A64" s="8" t="n">
        <v>45</v>
      </c>
      <c r="C64" s="3">
        <f>$B$6+$B$5*COS(RADIANS(2*(A64-$B$4)))^4</f>
        <v/>
      </c>
      <c r="E64" s="3">
        <f>C64*$B$7</f>
        <v/>
      </c>
      <c r="F64" s="3">
        <f>E64*$B$9</f>
        <v/>
      </c>
    </row>
    <row r="65">
      <c r="A65" s="8" t="n">
        <v>46</v>
      </c>
      <c r="B65" s="8" t="n">
        <v>16.5</v>
      </c>
      <c r="C65" s="3">
        <f>$B$6+$B$5*COS(RADIANS(2*(A65-$B$4)))^4</f>
        <v/>
      </c>
      <c r="D65" s="3">
        <f>B65-C65</f>
        <v/>
      </c>
      <c r="E65" s="3">
        <f>C65*$B$7</f>
        <v/>
      </c>
      <c r="F65" s="3">
        <f>E65*$B$9</f>
        <v/>
      </c>
    </row>
    <row r="66">
      <c r="A66" s="8" t="n">
        <v>47</v>
      </c>
      <c r="C66" s="3">
        <f>$B$6+$B$5*COS(RADIANS(2*(A66-$B$4)))^4</f>
        <v/>
      </c>
      <c r="E66" s="3">
        <f>C66*$B$7</f>
        <v/>
      </c>
      <c r="F66" s="3">
        <f>E66*$B$9</f>
        <v/>
      </c>
    </row>
    <row r="67">
      <c r="A67" s="8" t="n">
        <v>48</v>
      </c>
      <c r="B67" s="8" t="n">
        <v>16.9</v>
      </c>
      <c r="C67" s="3">
        <f>$B$6+$B$5*COS(RADIANS(2*(A67-$B$4)))^4</f>
        <v/>
      </c>
      <c r="D67" s="3">
        <f>B67-C67</f>
        <v/>
      </c>
      <c r="E67" s="3">
        <f>C67*$B$7</f>
        <v/>
      </c>
      <c r="F67" s="3">
        <f>E67*$B$9</f>
        <v/>
      </c>
    </row>
    <row r="68">
      <c r="A68" s="8" t="n">
        <v>49</v>
      </c>
      <c r="C68" s="3">
        <f>$B$6+$B$5*COS(RADIANS(2*(A68-$B$4)))^4</f>
        <v/>
      </c>
      <c r="E68" s="3">
        <f>C68*$B$7</f>
        <v/>
      </c>
      <c r="F68" s="3">
        <f>E68*$B$9</f>
        <v/>
      </c>
    </row>
    <row r="69">
      <c r="A69" s="8" t="n">
        <v>50</v>
      </c>
      <c r="B69" s="8" t="n">
        <v>17</v>
      </c>
      <c r="C69" s="3">
        <f>$B$6+$B$5*COS(RADIANS(2*(A69-$B$4)))^4</f>
        <v/>
      </c>
      <c r="D69" s="3">
        <f>B69-C69</f>
        <v/>
      </c>
      <c r="E69" s="3">
        <f>C69*$B$7</f>
        <v/>
      </c>
      <c r="F69" s="3">
        <f>E69*$B$9</f>
        <v/>
      </c>
    </row>
    <row r="70">
      <c r="A70" s="8" t="n">
        <v>51</v>
      </c>
      <c r="C70" s="3">
        <f>$B$6+$B$5*COS(RADIANS(2*(A70-$B$4)))^4</f>
        <v/>
      </c>
      <c r="E70" s="3">
        <f>C70*$B$7</f>
        <v/>
      </c>
      <c r="F70" s="3">
        <f>E70*$B$9</f>
        <v/>
      </c>
    </row>
    <row r="71">
      <c r="A71" s="8" t="n">
        <v>52</v>
      </c>
      <c r="B71" s="8" t="n">
        <v>16.8</v>
      </c>
      <c r="C71" s="3">
        <f>$B$6+$B$5*COS(RADIANS(2*(A71-$B$4)))^4</f>
        <v/>
      </c>
      <c r="D71" s="3">
        <f>B71-C71</f>
        <v/>
      </c>
      <c r="E71" s="3">
        <f>C71*$B$7</f>
        <v/>
      </c>
      <c r="F71" s="3">
        <f>E71*$B$9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Harmonics HWP (deg)</t>
        </is>
      </c>
      <c r="B1" s="2" t="inlineStr">
        <is>
          <t>Energy Meter PM1 (uJ)</t>
        </is>
      </c>
      <c r="D1" t="inlineStr">
        <is>
          <t>Copied from Energy_calibration_400nm_Ji_20261028.xlsx (pump throttle 16 deg).</t>
        </is>
      </c>
    </row>
    <row r="2">
      <c r="A2" t="n">
        <v>52</v>
      </c>
      <c r="B2" t="n">
        <v>16.8</v>
      </c>
    </row>
    <row r="3">
      <c r="A3" t="n">
        <v>50</v>
      </c>
      <c r="B3" t="n">
        <v>17</v>
      </c>
    </row>
    <row r="4">
      <c r="A4" t="n">
        <v>48</v>
      </c>
      <c r="B4" t="n">
        <v>16.9</v>
      </c>
    </row>
    <row r="5">
      <c r="A5" t="n">
        <v>46</v>
      </c>
      <c r="B5" t="n">
        <v>16.5</v>
      </c>
    </row>
    <row r="6">
      <c r="A6" t="n">
        <v>44</v>
      </c>
      <c r="B6" t="n">
        <v>15.8</v>
      </c>
    </row>
    <row r="7">
      <c r="A7" t="n">
        <v>42</v>
      </c>
      <c r="B7" t="n">
        <v>14.7</v>
      </c>
    </row>
    <row r="8">
      <c r="A8" t="n">
        <v>40</v>
      </c>
      <c r="B8" t="n">
        <v>13.6</v>
      </c>
    </row>
    <row r="9">
      <c r="A9" t="n">
        <v>38</v>
      </c>
      <c r="B9" t="n">
        <v>12.2</v>
      </c>
    </row>
    <row r="10">
      <c r="A10" t="n">
        <v>36</v>
      </c>
      <c r="B10" t="n">
        <v>10.8</v>
      </c>
    </row>
    <row r="11">
      <c r="A11" t="n">
        <v>34</v>
      </c>
      <c r="B11" t="n">
        <v>9.300000000000001</v>
      </c>
    </row>
    <row r="12">
      <c r="A12" t="n">
        <v>32</v>
      </c>
      <c r="B12" t="n">
        <v>7.7</v>
      </c>
    </row>
    <row r="13">
      <c r="A13" t="n">
        <v>30</v>
      </c>
      <c r="B13" t="n">
        <v>6.4</v>
      </c>
    </row>
    <row r="14">
      <c r="A14" t="n">
        <v>28</v>
      </c>
      <c r="B14" t="n">
        <v>5.1</v>
      </c>
    </row>
    <row r="15">
      <c r="A15" t="n">
        <v>26</v>
      </c>
      <c r="B15" t="n">
        <v>3.95</v>
      </c>
    </row>
    <row r="16">
      <c r="A16" t="n">
        <v>25</v>
      </c>
      <c r="B16" t="n">
        <v>3.4</v>
      </c>
    </row>
    <row r="17">
      <c r="A17" t="n">
        <v>24</v>
      </c>
      <c r="B17" t="n">
        <v>2.95</v>
      </c>
    </row>
    <row r="18">
      <c r="A18" t="n">
        <v>23</v>
      </c>
      <c r="B1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2026-10-29T04:33:26Z</dcterms:created>
  <dcterms:modified xsi:type="dcterms:W3CDTF">2026-10-29T04:36:31Z</dcterms:modified>
</cp:coreProperties>
</file>